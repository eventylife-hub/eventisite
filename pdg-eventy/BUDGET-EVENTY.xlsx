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dget Prévisionnel" sheetId="1" state="visible" r:id="rId3"/>
    <sheet name="Trésorerie M0-M12" sheetId="2" state="visible" r:id="rId4"/>
    <sheet name="Simulateur Transport" sheetId="3" state="visible" r:id="rId5"/>
    <sheet name="Grille Tarifair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<sst xmlns="http://schemas.openxmlformats.org/spreadsheetml/2006/main" count="150" uniqueCount="147">
  <si>
    <t xml:space="preserve">EVENTY — Budget Prévisionnel Année 1</t>
  </si>
  <si>
    <t xml:space="preserve">3 scénarios : Minimaliste / Confortable / Scale-ready</t>
  </si>
  <si>
    <t xml:space="preserve">Poste de dépense</t>
  </si>
  <si>
    <t xml:space="preserve">Minimaliste</t>
  </si>
  <si>
    <t xml:space="preserve">Confortable</t>
  </si>
  <si>
    <t xml:space="preserve">Scale-ready</t>
  </si>
  <si>
    <t xml:space="preserve">Notes</t>
  </si>
  <si>
    <t xml:space="preserve">CRÉATION &amp; JURIDIQUE</t>
  </si>
  <si>
    <t xml:space="preserve">Création SAS (statuts + greffe)</t>
  </si>
  <si>
    <t xml:space="preserve">Legaltech vs avocat</t>
  </si>
  <si>
    <t xml:space="preserve">Capital social déposé</t>
  </si>
  <si>
    <t xml:space="preserve">Récupérable (fonds propres)</t>
  </si>
  <si>
    <t xml:space="preserve">Publication annonce légale</t>
  </si>
  <si>
    <t xml:space="preserve">Obligatoire</t>
  </si>
  <si>
    <t xml:space="preserve">Domiciliation</t>
  </si>
  <si>
    <t xml:space="preserve">Domicile / pépinière / bureau</t>
  </si>
  <si>
    <t xml:space="preserve">Sous-total Création &amp; Juridique</t>
  </si>
  <si>
    <t xml:space="preserve">OBLIGATIONS AGENCE DE VOYAGES</t>
  </si>
  <si>
    <t xml:space="preserve">Garantie financière APST</t>
  </si>
  <si>
    <t xml:space="preserve">Cotisation annuelle</t>
  </si>
  <si>
    <t xml:space="preserve">RC Pro</t>
  </si>
  <si>
    <t xml:space="preserve">Assurance obligatoire</t>
  </si>
  <si>
    <t xml:space="preserve">Avocat CGV/CGU</t>
  </si>
  <si>
    <t xml:space="preserve">Pack juridique complet</t>
  </si>
  <si>
    <t xml:space="preserve">Sous-total Obligations Agence De Voyages</t>
  </si>
  <si>
    <t xml:space="preserve">TECH &amp; INFRASTRUCTURE</t>
  </si>
  <si>
    <t xml:space="preserve">Hébergement cloud (12 mois)</t>
  </si>
  <si>
    <t xml:space="preserve">Scaleway / OVH</t>
  </si>
  <si>
    <t xml:space="preserve">Domaine eventy.fr</t>
  </si>
  <si>
    <t xml:space="preserve">Renouvellement annuel</t>
  </si>
  <si>
    <t xml:space="preserve">Email pro Google Workspace (12m)</t>
  </si>
  <si>
    <t xml:space="preserve">7€ ou 14€/mois</t>
  </si>
  <si>
    <t xml:space="preserve">Certificat SSL</t>
  </si>
  <si>
    <t xml:space="preserve">Gratuit (Let's Encrypt)</t>
  </si>
  <si>
    <t xml:space="preserve">CDN / WAF Cloudflare</t>
  </si>
  <si>
    <t xml:space="preserve">Plan Pro 20€/m si besoin</t>
  </si>
  <si>
    <t xml:space="preserve">Monitoring (Sentry, UptimeRobot)</t>
  </si>
  <si>
    <t xml:space="preserve">Plans payants 26€/m</t>
  </si>
  <si>
    <t xml:space="preserve">CI/CD (GitHub Actions)</t>
  </si>
  <si>
    <t xml:space="preserve">Free tier suffisant</t>
  </si>
  <si>
    <t xml:space="preserve">Sous-total Tech &amp; Infrastructure</t>
  </si>
  <si>
    <t xml:space="preserve">MARKETING &amp; COMMERCIAL</t>
  </si>
  <si>
    <t xml:space="preserve">Google Ads (budget lancement)</t>
  </si>
  <si>
    <t xml:space="preserve">CPC tourisme ~1-3€</t>
  </si>
  <si>
    <t xml:space="preserve">Réseaux sociaux (outils)</t>
  </si>
  <si>
    <t xml:space="preserve">Buffer Pro 12€/m</t>
  </si>
  <si>
    <t xml:space="preserve">Canva Pro</t>
  </si>
  <si>
    <t xml:space="preserve">Design marketing 12€/m</t>
  </si>
  <si>
    <t xml:space="preserve">Brevo / emails transac.</t>
  </si>
  <si>
    <t xml:space="preserve">Plan Starter 25€/m</t>
  </si>
  <si>
    <t xml:space="preserve">Print (cartes visite, flyers)</t>
  </si>
  <si>
    <t xml:space="preserve">VistaPrint / Canva</t>
  </si>
  <si>
    <t xml:space="preserve">Sous-total Marketing &amp; Commercial</t>
  </si>
  <si>
    <t xml:space="preserve">FONCTIONNEMENT</t>
  </si>
  <si>
    <t xml:space="preserve">Expert-comptable (12m)</t>
  </si>
  <si>
    <t xml:space="preserve">80-200€/mois</t>
  </si>
  <si>
    <t xml:space="preserve">Banque pro (12m)</t>
  </si>
  <si>
    <t xml:space="preserve">Qonto/Shine 9-30€/m</t>
  </si>
  <si>
    <t xml:space="preserve">Assurance multirisque bureau</t>
  </si>
  <si>
    <t xml:space="preserve">Si local dédié</t>
  </si>
  <si>
    <t xml:space="preserve">Téléphone pro</t>
  </si>
  <si>
    <t xml:space="preserve">10-20€/mois</t>
  </si>
  <si>
    <t xml:space="preserve">Déplacements</t>
  </si>
  <si>
    <t xml:space="preserve">Prospection partenaires</t>
  </si>
  <si>
    <t xml:space="preserve">Sous-total Fonctionnement</t>
  </si>
  <si>
    <t xml:space="preserve">TOTAL ANNÉE 1</t>
  </si>
  <si>
    <t xml:space="preserve">Trésorerie de réserve recommandée</t>
  </si>
  <si>
    <t xml:space="preserve">BESOIN TOTAL EN CAPITAL</t>
  </si>
  <si>
    <t xml:space="preserve">PLAN DE TRÉSORERIE — MOIS PAR MOIS</t>
  </si>
  <si>
    <t xml:space="preserve">Poste</t>
  </si>
  <si>
    <t xml:space="preserve">M0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</si>
  <si>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</si>
  <si>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</si>
  <si>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</si>
  <si>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</si>
  <si>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</si>
  <si>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</si>
  <si>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</si>
  <si>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</si>
  <si>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</si>
  <si>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</si>
  <si>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</si>
  <si>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</si>
  <si>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Apport initial</t>
  </si>
  <si>
    <t xml:space="preserve">Création SAS</t>
  </si>
  <si>
    <t xml:space="preserve">Capital social</t>
  </si>
  <si>
    <t xml:space="preserve">Garantie APST</t>
  </si>
  <si>
    <t xml:space="preserve">Avocat CGV</t>
  </si>
  <si>
    <t xml:space="preserve">Cloud + domaine</t>
  </si>
  <si>
    <t xml:space="preserve">Google Workspace</t>
  </si>
  <si>
    <t xml:space="preserve">Banque pro</t>
  </si>
  <si>
    <t xml:space="preserve">Expert-comptable</t>
  </si>
  <si>
    <t xml:space="preserve">Marketing Ads</t>
  </si>
  <si>
    <t xml:space="preserve">Revenus voyages</t>
  </si>
  <si>
    <t xml:space="preserve">Flux mensuel</t>
  </si>
  <si>
    <t xml:space="preserve">Trésorerie cumulée</t>
  </si>
  <si>
    <t xml:space="preserve">SIMULATEUR DE COÛTS TRANSPORT</t>
  </si>
  <si>
    <t xml:space="preserve">Véhicule</t>
  </si>
  <si>
    <t xml:space="preserve">Places</t>
  </si>
  <si>
    <t xml:space="preserve">Prix/jour HT</t>
  </si>
  <si>
    <t xml:space="preserve">Prix/km HT</t>
  </si>
  <si>
    <t xml:space="preserve">Ex: 2j+300km</t>
  </si>
  <si>
    <t xml:space="preserve">Ex: 3j+500km</t>
  </si>
  <si>
    <t xml:space="preserve">Minibus 9 places</t>
  </si>
  <si>
    <t xml:space="preserve">Minibus 20 places</t>
  </si>
  <si>
    <t xml:space="preserve">Autocar 35 places</t>
  </si>
  <si>
    <t xml:space="preserve">Autocar 49 places</t>
  </si>
  <si>
    <t xml:space="preserve">Autocar 55 places</t>
  </si>
  <si>
    <t xml:space="preserve">COEFFICIENTS SAISONNALITÉ</t>
  </si>
  <si>
    <t xml:space="preserve">Basse (oct-fév)</t>
  </si>
  <si>
    <t xml:space="preserve">Moyenne (mars, sept)</t>
  </si>
  <si>
    <t xml:space="preserve">Haute (avr-août)</t>
  </si>
  <si>
    <t xml:space="preserve">SIMULATEUR PERSONNALISÉ</t>
  </si>
  <si>
    <t xml:space="preserve">Nombre de jours</t>
  </si>
  <si>
    <t xml:space="preserve">Modifier cette valeur (1-14)</t>
  </si>
  <si>
    <t xml:space="preserve">Kilomètres total</t>
  </si>
  <si>
    <t xml:space="preserve">Aller-retour</t>
  </si>
  <si>
    <t xml:space="preserve">Prix/jour du véhicule</t>
  </si>
  <si>
    <t xml:space="preserve">Cf. grille ci-dessus</t>
  </si>
  <si>
    <t xml:space="preserve">Prix/km du véhicule</t>
  </si>
  <si>
    <t xml:space="preserve">Coefficient saison</t>
  </si>
  <si>
    <t xml:space="preserve">Cf. coefficients ci-dessus</t>
  </si>
  <si>
    <t xml:space="preserve">Nombre de participants</t>
  </si>
  <si>
    <t xml:space="preserve">Pour calcul par personne</t>
  </si>
  <si>
    <t xml:space="preserve">RÉSULTATS</t>
  </si>
  <si>
    <t xml:space="preserve">Coût journalier</t>
  </si>
  <si>
    <t xml:space="preserve">Coût kilométrique</t>
  </si>
  <si>
    <t xml:space="preserve">Sous-total HT</t>
  </si>
  <si>
    <t xml:space="preserve">Avec saisonnalité</t>
  </si>
  <si>
    <t xml:space="preserve">Par participant</t>
  </si>
  <si>
    <t xml:space="preserve">GRILLE TARIFAIRE &amp; COMMISSIONS</t>
  </si>
  <si>
    <t xml:space="preserve">Type presta</t>
  </si>
  <si>
    <t xml:space="preserve">Comm. min</t>
  </si>
  <si>
    <t xml:space="preserve">Comm. max</t>
  </si>
  <si>
    <t xml:space="preserve">Comm. moyenne</t>
  </si>
  <si>
    <t xml:space="preserve">CA moyen/pers</t>
  </si>
  <si>
    <t xml:space="preserve">Marge/pers</t>
  </si>
  <si>
    <t xml:space="preserve">Hébergement</t>
  </si>
  <si>
    <t xml:space="preserve">Hôtels, gîtes</t>
  </si>
  <si>
    <t xml:space="preserve">Restauration</t>
  </si>
  <si>
    <t xml:space="preserve">Restaurants, traiteurs</t>
  </si>
  <si>
    <t xml:space="preserve">Activités</t>
  </si>
  <si>
    <t xml:space="preserve">Loisirs, culture</t>
  </si>
  <si>
    <t xml:space="preserve">Transport</t>
  </si>
  <si>
    <t xml:space="preserve">Autocars, trains</t>
  </si>
  <si>
    <t xml:space="preserve">Assurance voyage</t>
  </si>
  <si>
    <t xml:space="preserve">Annulation, rapatriement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</si>
</sst>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&quot; €&quot;"/>
    <numFmt numFmtId="166" formatCode="#,##0&quot; €&quot;;\(#,##0&quot; €)&quot;;\-"/>
    <numFmt numFmtId="167" formatCode="0.00&quot; €&quot;"/>
    <numFmt numFmtId="168" formatCode="0.00"/>
    <numFmt numFmtId="169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A56DB"/>
      <name val="Arial"/>
      <family val="0"/>
      <charset val="1"/>
    </font>
    <font>
      <sz val="10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11827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6B728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0"/>
      <color rgb="FF059669"/>
      <name val="Arial"/>
      <family val="0"/>
      <charset val="1"/>
    </font>
    <font>
      <b val="true"/>
      <sz val="12"/>
      <color rgb="FFDC2626"/>
      <name val="Arial"/>
      <family val="0"/>
      <charset val="1"/>
    </font>
    <font>
      <sz val="10"/>
      <color rgb="FFD1D5DB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1A56DB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1A56DB"/>
      <name val="Arial"/>
      <family val="0"/>
      <charset val="1"/>
    </font>
    <font>
      <b val="true"/>
      <sz val="10"/>
      <color rgb="FF05966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56DB"/>
        <bgColor rgb="FF3366FF"/>
      </patternFill>
    </fill>
    <fill>
      <patternFill patternType="solid">
        <fgColor rgb="FFF3F4F6"/>
        <bgColor rgb="FFE8EEFB"/>
      </patternFill>
    </fill>
    <fill>
      <patternFill patternType="solid">
        <fgColor rgb="FFFFFF00"/>
        <bgColor rgb="FFFFFF00"/>
      </patternFill>
    </fill>
    <fill>
      <patternFill patternType="solid">
        <fgColor rgb="FFE8EEFB"/>
        <bgColor rgb="FFF3F4F6"/>
      </patternFill>
    </fill>
    <fill>
      <patternFill patternType="solid">
        <fgColor rgb="FFD1FAE5"/>
        <bgColor rgb="FFCCFFFF"/>
      </patternFill>
    </fill>
    <fill>
      <patternFill patternType="solid">
        <fgColor rgb="FFFEE2E2"/>
        <bgColor rgb="FFF3F4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59669"/>
      <rgbColor rgb="FFC0C0C0"/>
      <rgbColor rgb="FF808080"/>
      <rgbColor rgb="FF9999FF"/>
      <rgbColor rgb="FF993366"/>
      <rgbColor rgb="FFF3F4F6"/>
      <rgbColor rgb="FFE8EEFB"/>
      <rgbColor rgb="FF660066"/>
      <rgbColor rgb="FFFF8080"/>
      <rgbColor rgb="FF1A56DB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8"/>
    <col collapsed="false" customWidth="true" hidden="false" outlineLevel="0" max="5" min="5" style="0" width="3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6" customFormat="false" ht="15" hidden="false" customHeight="false" outlineLevel="0" collapsed="false">
      <c r="A6" s="4" t="s">
        <v>7</v>
      </c>
      <c r="B6" s="5"/>
      <c r="C6" s="5"/>
      <c r="D6" s="5"/>
      <c r="E6" s="5"/>
    </row>
    <row r="7" customFormat="false" ht="15" hidden="false" customHeight="false" outlineLevel="0" collapsed="false">
      <c r="A7" s="6" t="s">
        <v>8</v>
      </c>
      <c r="B7" s="7" t="n">
        <v>800</v>
      </c>
      <c r="C7" s="7" t="n">
        <v>2000</v>
      </c>
      <c r="D7" s="7" t="n">
        <v>3500</v>
      </c>
      <c r="E7" s="8" t="s">
        <v>9</v>
      </c>
    </row>
    <row r="8" customFormat="false" ht="15" hidden="false" customHeight="false" outlineLevel="0" collapsed="false">
      <c r="A8" s="6" t="s">
        <v>10</v>
      </c>
      <c r="B8" s="7" t="n">
        <v>1000</v>
      </c>
      <c r="C8" s="7" t="n">
        <v>2500</v>
      </c>
      <c r="D8" s="7" t="n">
        <v>5000</v>
      </c>
      <c r="E8" s="8" t="s">
        <v>11</v>
      </c>
    </row>
    <row r="9" customFormat="false" ht="15" hidden="false" customHeight="false" outlineLevel="0" collapsed="false">
      <c r="A9" s="6" t="s">
        <v>12</v>
      </c>
      <c r="B9" s="7" t="n">
        <v>150</v>
      </c>
      <c r="C9" s="7" t="n">
        <v>200</v>
      </c>
      <c r="D9" s="7" t="n">
        <v>250</v>
      </c>
      <c r="E9" s="8" t="s">
        <v>13</v>
      </c>
    </row>
    <row r="10" customFormat="false" ht="15" hidden="false" customHeight="false" outlineLevel="0" collapsed="false">
      <c r="A10" s="6" t="s">
        <v>14</v>
      </c>
      <c r="B10" s="9" t="n">
        <v>0</v>
      </c>
      <c r="C10" s="7" t="n">
        <v>300</v>
      </c>
      <c r="D10" s="7" t="n">
        <v>600</v>
      </c>
      <c r="E10" s="8" t="s">
        <v>15</v>
      </c>
    </row>
    <row r="11" customFormat="false" ht="15" hidden="false" customHeight="false" outlineLevel="0" collapsed="false">
      <c r="A11" s="10" t="s">
        <v>16</v>
      </c>
      <c r="B11" s="11" t="n">
        <f aca="false">SUM(B7:B10)</f>
        <v>1950</v>
      </c>
      <c r="C11" s="11" t="n">
        <f aca="false">SUM(C7:C10)</f>
        <v>5000</v>
      </c>
      <c r="D11" s="11" t="n">
        <f aca="false">SUM(D7:D10)</f>
        <v>9350</v>
      </c>
      <c r="E11" s="12"/>
    </row>
    <row r="12" customFormat="false" ht="15" hidden="false" customHeight="false" outlineLevel="0" collapsed="false">
      <c r="A12" s="4" t="s">
        <v>17</v>
      </c>
      <c r="B12" s="5"/>
      <c r="C12" s="5"/>
      <c r="D12" s="5"/>
      <c r="E12" s="5"/>
    </row>
    <row r="13" customFormat="false" ht="15" hidden="false" customHeight="false" outlineLevel="0" collapsed="false">
      <c r="A13" s="6" t="s">
        <v>18</v>
      </c>
      <c r="B13" s="7" t="n">
        <v>2100</v>
      </c>
      <c r="C13" s="7" t="n">
        <v>3000</v>
      </c>
      <c r="D13" s="7" t="n">
        <v>3000</v>
      </c>
      <c r="E13" s="8" t="s">
        <v>19</v>
      </c>
    </row>
    <row r="14" customFormat="false" ht="15" hidden="false" customHeight="false" outlineLevel="0" collapsed="false">
      <c r="A14" s="6" t="s">
        <v>20</v>
      </c>
      <c r="B14" s="7" t="n">
        <v>780</v>
      </c>
      <c r="C14" s="7" t="n">
        <v>1000</v>
      </c>
      <c r="D14" s="7" t="n">
        <v>1200</v>
      </c>
      <c r="E14" s="8" t="s">
        <v>21</v>
      </c>
    </row>
    <row r="15" customFormat="false" ht="15" hidden="false" customHeight="false" outlineLevel="0" collapsed="false">
      <c r="A15" s="6" t="s">
        <v>22</v>
      </c>
      <c r="B15" s="9" t="n">
        <v>0</v>
      </c>
      <c r="C15" s="7" t="n">
        <v>2500</v>
      </c>
      <c r="D15" s="7" t="n">
        <v>5000</v>
      </c>
      <c r="E15" s="8" t="s">
        <v>23</v>
      </c>
    </row>
    <row r="16" customFormat="false" ht="15" hidden="false" customHeight="false" outlineLevel="0" collapsed="false">
      <c r="A16" s="10" t="s">
        <v>24</v>
      </c>
      <c r="B16" s="11" t="n">
        <f aca="false">SUM(B13:B15)</f>
        <v>2880</v>
      </c>
      <c r="C16" s="11" t="n">
        <f aca="false">SUM(C13:C15)</f>
        <v>6500</v>
      </c>
      <c r="D16" s="11" t="n">
        <f aca="false">SUM(D13:D15)</f>
        <v>9200</v>
      </c>
      <c r="E16" s="12"/>
    </row>
    <row r="17" customFormat="false" ht="15" hidden="false" customHeight="false" outlineLevel="0" collapsed="false">
      <c r="A17" s="4" t="s">
        <v>25</v>
      </c>
      <c r="B17" s="5"/>
      <c r="C17" s="5"/>
      <c r="D17" s="5"/>
      <c r="E17" s="5"/>
    </row>
    <row r="18" customFormat="false" ht="15" hidden="false" customHeight="false" outlineLevel="0" collapsed="false">
      <c r="A18" s="6" t="s">
        <v>26</v>
      </c>
      <c r="B18" s="7" t="n">
        <v>120</v>
      </c>
      <c r="C18" s="7" t="n">
        <v>300</v>
      </c>
      <c r="D18" s="7" t="n">
        <v>600</v>
      </c>
      <c r="E18" s="8" t="s">
        <v>27</v>
      </c>
    </row>
    <row r="19" customFormat="false" ht="15" hidden="false" customHeight="false" outlineLevel="0" collapsed="false">
      <c r="A19" s="6" t="s">
        <v>28</v>
      </c>
      <c r="B19" s="7" t="n">
        <v>12</v>
      </c>
      <c r="C19" s="7" t="n">
        <v>12</v>
      </c>
      <c r="D19" s="7" t="n">
        <v>12</v>
      </c>
      <c r="E19" s="8" t="s">
        <v>29</v>
      </c>
    </row>
    <row r="20" customFormat="false" ht="15" hidden="false" customHeight="false" outlineLevel="0" collapsed="false">
      <c r="A20" s="6" t="s">
        <v>30</v>
      </c>
      <c r="B20" s="7" t="n">
        <v>84</v>
      </c>
      <c r="C20" s="7" t="n">
        <v>84</v>
      </c>
      <c r="D20" s="7" t="n">
        <v>168</v>
      </c>
      <c r="E20" s="8" t="s">
        <v>31</v>
      </c>
    </row>
    <row r="21" customFormat="false" ht="15" hidden="false" customHeight="false" outlineLevel="0" collapsed="false">
      <c r="A21" s="6" t="s">
        <v>32</v>
      </c>
      <c r="B21" s="9" t="n">
        <v>0</v>
      </c>
      <c r="C21" s="9" t="n">
        <v>0</v>
      </c>
      <c r="D21" s="9" t="n">
        <v>0</v>
      </c>
      <c r="E21" s="8" t="s">
        <v>33</v>
      </c>
    </row>
    <row r="22" customFormat="false" ht="15" hidden="false" customHeight="false" outlineLevel="0" collapsed="false">
      <c r="A22" s="6" t="s">
        <v>34</v>
      </c>
      <c r="B22" s="9" t="n">
        <v>0</v>
      </c>
      <c r="C22" s="9" t="n">
        <v>0</v>
      </c>
      <c r="D22" s="7" t="n">
        <v>240</v>
      </c>
      <c r="E22" s="8" t="s">
        <v>35</v>
      </c>
    </row>
    <row r="23" customFormat="false" ht="15" hidden="false" customHeight="false" outlineLevel="0" collapsed="false">
      <c r="A23" s="6" t="s">
        <v>36</v>
      </c>
      <c r="B23" s="9" t="n">
        <v>0</v>
      </c>
      <c r="C23" s="9" t="n">
        <v>0</v>
      </c>
      <c r="D23" s="7" t="n">
        <v>312</v>
      </c>
      <c r="E23" s="8" t="s">
        <v>37</v>
      </c>
    </row>
    <row r="24" customFormat="false" ht="15" hidden="false" customHeight="false" outlineLevel="0" collapsed="false">
      <c r="A24" s="6" t="s">
        <v>38</v>
      </c>
      <c r="B24" s="9" t="n">
        <v>0</v>
      </c>
      <c r="C24" s="9" t="n">
        <v>0</v>
      </c>
      <c r="D24" s="9" t="n">
        <v>0</v>
      </c>
      <c r="E24" s="8" t="s">
        <v>39</v>
      </c>
    </row>
    <row r="25" customFormat="false" ht="15" hidden="false" customHeight="false" outlineLevel="0" collapsed="false">
      <c r="A25" s="10" t="s">
        <v>40</v>
      </c>
      <c r="B25" s="11" t="n">
        <f aca="false">SUM(B18:B24)</f>
        <v>216</v>
      </c>
      <c r="C25" s="11" t="n">
        <f aca="false">SUM(C18:C24)</f>
        <v>396</v>
      </c>
      <c r="D25" s="11" t="n">
        <f aca="false">SUM(D18:D24)</f>
        <v>1332</v>
      </c>
      <c r="E25" s="12"/>
    </row>
    <row r="26" customFormat="false" ht="15" hidden="false" customHeight="false" outlineLevel="0" collapsed="false">
      <c r="A26" s="4" t="s">
        <v>41</v>
      </c>
      <c r="B26" s="5"/>
      <c r="C26" s="5"/>
      <c r="D26" s="5"/>
      <c r="E26" s="5"/>
    </row>
    <row r="27" customFormat="false" ht="15" hidden="false" customHeight="false" outlineLevel="0" collapsed="false">
      <c r="A27" s="6" t="s">
        <v>42</v>
      </c>
      <c r="B27" s="9" t="n">
        <v>0</v>
      </c>
      <c r="C27" s="7" t="n">
        <v>500</v>
      </c>
      <c r="D27" s="7" t="n">
        <v>2000</v>
      </c>
      <c r="E27" s="8" t="s">
        <v>43</v>
      </c>
    </row>
    <row r="28" customFormat="false" ht="15" hidden="false" customHeight="false" outlineLevel="0" collapsed="false">
      <c r="A28" s="6" t="s">
        <v>44</v>
      </c>
      <c r="B28" s="9" t="n">
        <v>0</v>
      </c>
      <c r="C28" s="9" t="n">
        <v>0</v>
      </c>
      <c r="D28" s="7" t="n">
        <v>144</v>
      </c>
      <c r="E28" s="8" t="s">
        <v>45</v>
      </c>
    </row>
    <row r="29" customFormat="false" ht="15" hidden="false" customHeight="false" outlineLevel="0" collapsed="false">
      <c r="A29" s="6" t="s">
        <v>46</v>
      </c>
      <c r="B29" s="9" t="n">
        <v>0</v>
      </c>
      <c r="C29" s="7" t="n">
        <v>144</v>
      </c>
      <c r="D29" s="7" t="n">
        <v>144</v>
      </c>
      <c r="E29" s="8" t="s">
        <v>47</v>
      </c>
    </row>
    <row r="30" customFormat="false" ht="15" hidden="false" customHeight="false" outlineLevel="0" collapsed="false">
      <c r="A30" s="6" t="s">
        <v>48</v>
      </c>
      <c r="B30" s="9" t="n">
        <v>0</v>
      </c>
      <c r="C30" s="9" t="n">
        <v>0</v>
      </c>
      <c r="D30" s="7" t="n">
        <v>300</v>
      </c>
      <c r="E30" s="8" t="s">
        <v>49</v>
      </c>
    </row>
    <row r="31" customFormat="false" ht="15" hidden="false" customHeight="false" outlineLevel="0" collapsed="false">
      <c r="A31" s="6" t="s">
        <v>50</v>
      </c>
      <c r="B31" s="9" t="n">
        <v>0</v>
      </c>
      <c r="C31" s="7" t="n">
        <v>100</v>
      </c>
      <c r="D31" s="7" t="n">
        <v>500</v>
      </c>
      <c r="E31" s="8" t="s">
        <v>51</v>
      </c>
    </row>
    <row r="32" customFormat="false" ht="15" hidden="false" customHeight="false" outlineLevel="0" collapsed="false">
      <c r="A32" s="10" t="s">
        <v>52</v>
      </c>
      <c r="B32" s="11" t="n">
        <f aca="false">SUM(B27:B31)</f>
        <v>0</v>
      </c>
      <c r="C32" s="11" t="n">
        <f aca="false">SUM(C27:C31)</f>
        <v>744</v>
      </c>
      <c r="D32" s="11" t="n">
        <f aca="false">SUM(D27:D31)</f>
        <v>3088</v>
      </c>
      <c r="E32" s="12"/>
    </row>
    <row r="33" customFormat="false" ht="15" hidden="false" customHeight="false" outlineLevel="0" collapsed="false">
      <c r="A33" s="4" t="s">
        <v>53</v>
      </c>
      <c r="B33" s="5"/>
      <c r="C33" s="5"/>
      <c r="D33" s="5"/>
      <c r="E33" s="5"/>
    </row>
    <row r="34" customFormat="false" ht="15" hidden="false" customHeight="false" outlineLevel="0" collapsed="false">
      <c r="A34" s="6" t="s">
        <v>54</v>
      </c>
      <c r="B34" s="9" t="n">
        <v>0</v>
      </c>
      <c r="C34" s="7" t="n">
        <v>960</v>
      </c>
      <c r="D34" s="7" t="n">
        <v>2400</v>
      </c>
      <c r="E34" s="8" t="s">
        <v>55</v>
      </c>
    </row>
    <row r="35" customFormat="false" ht="15" hidden="false" customHeight="false" outlineLevel="0" collapsed="false">
      <c r="A35" s="6" t="s">
        <v>56</v>
      </c>
      <c r="B35" s="7" t="n">
        <v>108</v>
      </c>
      <c r="C35" s="7" t="n">
        <v>180</v>
      </c>
      <c r="D35" s="7" t="n">
        <v>360</v>
      </c>
      <c r="E35" s="8" t="s">
        <v>57</v>
      </c>
    </row>
    <row r="36" customFormat="false" ht="15" hidden="false" customHeight="false" outlineLevel="0" collapsed="false">
      <c r="A36" s="6" t="s">
        <v>58</v>
      </c>
      <c r="B36" s="9" t="n">
        <v>0</v>
      </c>
      <c r="C36" s="9" t="n">
        <v>0</v>
      </c>
      <c r="D36" s="7" t="n">
        <v>300</v>
      </c>
      <c r="E36" s="8" t="s">
        <v>59</v>
      </c>
    </row>
    <row r="37" customFormat="false" ht="15" hidden="false" customHeight="false" outlineLevel="0" collapsed="false">
      <c r="A37" s="6" t="s">
        <v>60</v>
      </c>
      <c r="B37" s="9" t="n">
        <v>0</v>
      </c>
      <c r="C37" s="7" t="n">
        <v>120</v>
      </c>
      <c r="D37" s="7" t="n">
        <v>240</v>
      </c>
      <c r="E37" s="8" t="s">
        <v>61</v>
      </c>
    </row>
    <row r="38" customFormat="false" ht="15" hidden="false" customHeight="false" outlineLevel="0" collapsed="false">
      <c r="A38" s="6" t="s">
        <v>62</v>
      </c>
      <c r="B38" s="9" t="n">
        <v>0</v>
      </c>
      <c r="C38" s="7" t="n">
        <v>500</v>
      </c>
      <c r="D38" s="7" t="n">
        <v>2000</v>
      </c>
      <c r="E38" s="8" t="s">
        <v>63</v>
      </c>
    </row>
    <row r="39" customFormat="false" ht="15" hidden="false" customHeight="false" outlineLevel="0" collapsed="false">
      <c r="A39" s="10" t="s">
        <v>64</v>
      </c>
      <c r="B39" s="11" t="n">
        <f aca="false">SUM(B34:B38)</f>
        <v>108</v>
      </c>
      <c r="C39" s="11" t="n">
        <f aca="false">SUM(C34:C38)</f>
        <v>1760</v>
      </c>
      <c r="D39" s="11" t="n">
        <f aca="false">SUM(D34:D38)</f>
        <v>5300</v>
      </c>
      <c r="E39" s="12"/>
    </row>
    <row r="41" customFormat="false" ht="15" hidden="false" customHeight="false" outlineLevel="0" collapsed="false">
      <c r="A41" s="13" t="s">
        <v>65</v>
      </c>
      <c r="B41" s="14" t="n">
        <f aca="false">B11+B16+B25+B32+B39</f>
        <v>5154</v>
      </c>
      <c r="C41" s="14" t="n">
        <f aca="false">C11+C16+C25+C32+C39</f>
        <v>14400</v>
      </c>
      <c r="D41" s="14" t="n">
        <f aca="false">D11+D16+D25+D32+D39</f>
        <v>28270</v>
      </c>
      <c r="E41" s="15"/>
    </row>
    <row r="42" customFormat="false" ht="15" hidden="false" customHeight="false" outlineLevel="0" collapsed="false">
      <c r="A42" s="16" t="s">
        <v>66</v>
      </c>
      <c r="B42" s="17" t="n">
        <v>5000</v>
      </c>
      <c r="C42" s="17" t="n">
        <v>10000</v>
      </c>
      <c r="D42" s="17" t="n">
        <v>20000</v>
      </c>
    </row>
    <row r="43" customFormat="false" ht="15" hidden="false" customHeight="false" outlineLevel="0" collapsed="false">
      <c r="A43" s="18" t="s">
        <v>67</v>
      </c>
      <c r="B43" s="19" t="n">
        <f aca="false">B41+B42</f>
        <v>10154</v>
      </c>
      <c r="C43" s="19" t="n">
        <f aca="false">C41+C42</f>
        <v>24400</v>
      </c>
      <c r="D43" s="19" t="n">
        <f aca="false">D41+D42</f>
        <v>48270</v>
      </c>
      <c r="E43" s="20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2"/>
  </cols>
  <sheetData>
    <row r="1" customFormat="false" ht="17.35" hidden="false" customHeight="false" outlineLevel="0" collapsed="false">
      <c r="A1" s="21" t="s">
        <v>68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3" customFormat="false" ht="15" hidden="false" customHeight="false" outlineLevel="0" collapsed="false">
      <c r="A3" s="22" t="s">
        <v>69</v>
      </c>
      <c r="B3" s="3" t="s">
        <v>70</v>
      </c>
      <c r="C3" s="3" t="s">
        <v>71</v>
      </c>
      <c r="D3" s="3" t="s">
        <v>72</v>
      </c>
      <c r="E3" s="3" t="s">
        <v>73</v>
      </c>
      <c r="F3" s="3" t="s">
        <v>74</v>
      </c>
      <c r="G3" s="3" t="s">
        <v>75</v>
      </c>
      <c r="H3" s="3" t="s">
        <v>76</v>
      </c>
      <c r="I3" s="3" t="s">
        <v>77</v>
      </c>
      <c r="J3" s="3" t="s">
        <v>78</v>
      </c>
      <c r="K3" s="3" t="s">
        <v>79</v>
      </c>
      <c r="L3" s="3" t="s">
        <v>80</v>
      </c>
      <c r="M3" s="3" t="s">
        <v>81</v>
      </c>
      <c r="N3" s="3" t="s">
        <v>82</v>
      </c>
    </row>
    <row r="4" customFormat="false" ht="15" hidden="false" customHeight="false" outlineLevel="0" collapsed="false">
      <c r="A4" s="23" t="s">
        <v>83</v>
      </c>
      <c r="B4" s="24" t="n">
        <v>30000</v>
      </c>
      <c r="C4" s="25" t="n">
        <v>0</v>
      </c>
      <c r="D4" s="25" t="n">
        <v>0</v>
      </c>
      <c r="E4" s="25" t="n">
        <v>0</v>
      </c>
      <c r="F4" s="25" t="n">
        <v>0</v>
      </c>
      <c r="G4" s="25" t="n">
        <v>0</v>
      </c>
      <c r="H4" s="25" t="n">
        <v>0</v>
      </c>
      <c r="I4" s="25" t="n">
        <v>0</v>
      </c>
      <c r="J4" s="25" t="n">
        <v>0</v>
      </c>
      <c r="K4" s="25" t="n">
        <v>0</v>
      </c>
      <c r="L4" s="25" t="n">
        <v>0</v>
      </c>
      <c r="M4" s="25" t="n">
        <v>0</v>
      </c>
      <c r="N4" s="25" t="n">
        <v>0</v>
      </c>
    </row>
    <row r="5" customFormat="false" ht="15" hidden="false" customHeight="false" outlineLevel="0" collapsed="false">
      <c r="A5" s="23" t="s">
        <v>84</v>
      </c>
      <c r="B5" s="24" t="n">
        <v>-2000</v>
      </c>
      <c r="C5" s="25" t="n">
        <v>0</v>
      </c>
      <c r="D5" s="25" t="n">
        <v>0</v>
      </c>
      <c r="E5" s="25" t="n">
        <v>0</v>
      </c>
      <c r="F5" s="2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5" t="n">
        <v>0</v>
      </c>
      <c r="L5" s="25" t="n">
        <v>0</v>
      </c>
      <c r="M5" s="25" t="n">
        <v>0</v>
      </c>
      <c r="N5" s="25" t="n">
        <v>0</v>
      </c>
    </row>
    <row r="6" customFormat="false" ht="15" hidden="false" customHeight="false" outlineLevel="0" collapsed="false">
      <c r="A6" s="23" t="s">
        <v>85</v>
      </c>
      <c r="B6" s="24" t="n">
        <v>-2500</v>
      </c>
      <c r="C6" s="25" t="n">
        <v>0</v>
      </c>
      <c r="D6" s="25" t="n">
        <v>0</v>
      </c>
      <c r="E6" s="25" t="n">
        <v>0</v>
      </c>
      <c r="F6" s="25" t="n">
        <v>0</v>
      </c>
      <c r="G6" s="25" t="n">
        <v>0</v>
      </c>
      <c r="H6" s="25" t="n">
        <v>0</v>
      </c>
      <c r="I6" s="25" t="n">
        <v>0</v>
      </c>
      <c r="J6" s="25" t="n">
        <v>0</v>
      </c>
      <c r="K6" s="25" t="n">
        <v>0</v>
      </c>
      <c r="L6" s="25" t="n">
        <v>0</v>
      </c>
      <c r="M6" s="25" t="n">
        <v>0</v>
      </c>
      <c r="N6" s="25" t="n">
        <v>0</v>
      </c>
    </row>
    <row r="7" customFormat="false" ht="15" hidden="false" customHeight="false" outlineLevel="0" collapsed="false">
      <c r="A7" s="23" t="s">
        <v>86</v>
      </c>
      <c r="B7" s="25" t="n">
        <v>0</v>
      </c>
      <c r="C7" s="24" t="n">
        <v>-2100</v>
      </c>
      <c r="D7" s="25" t="n">
        <v>0</v>
      </c>
      <c r="E7" s="25" t="n">
        <v>0</v>
      </c>
      <c r="F7" s="25" t="n">
        <v>0</v>
      </c>
      <c r="G7" s="25" t="n">
        <v>0</v>
      </c>
      <c r="H7" s="25" t="n">
        <v>0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0</v>
      </c>
      <c r="N7" s="25" t="n">
        <v>0</v>
      </c>
    </row>
    <row r="8" customFormat="false" ht="15" hidden="false" customHeight="false" outlineLevel="0" collapsed="false">
      <c r="A8" s="23" t="s">
        <v>20</v>
      </c>
      <c r="B8" s="25" t="n">
        <v>0</v>
      </c>
      <c r="C8" s="24" t="n">
        <v>-1000</v>
      </c>
      <c r="D8" s="25" t="n">
        <v>0</v>
      </c>
      <c r="E8" s="25" t="n">
        <v>0</v>
      </c>
      <c r="F8" s="25" t="n">
        <v>0</v>
      </c>
      <c r="G8" s="25" t="n">
        <v>0</v>
      </c>
      <c r="H8" s="25" t="n">
        <v>0</v>
      </c>
      <c r="I8" s="25" t="n">
        <v>0</v>
      </c>
      <c r="J8" s="25" t="n">
        <v>0</v>
      </c>
      <c r="K8" s="25" t="n">
        <v>0</v>
      </c>
      <c r="L8" s="25" t="n">
        <v>0</v>
      </c>
      <c r="M8" s="25" t="n">
        <v>0</v>
      </c>
      <c r="N8" s="25" t="n">
        <v>0</v>
      </c>
    </row>
    <row r="9" customFormat="false" ht="15" hidden="false" customHeight="false" outlineLevel="0" collapsed="false">
      <c r="A9" s="23" t="s">
        <v>87</v>
      </c>
      <c r="B9" s="25" t="n">
        <v>0</v>
      </c>
      <c r="C9" s="25" t="n">
        <v>0</v>
      </c>
      <c r="D9" s="24" t="n">
        <v>-2500</v>
      </c>
      <c r="E9" s="25" t="n">
        <v>0</v>
      </c>
      <c r="F9" s="25" t="n">
        <v>0</v>
      </c>
      <c r="G9" s="25" t="n">
        <v>0</v>
      </c>
      <c r="H9" s="25" t="n">
        <v>0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0</v>
      </c>
      <c r="N9" s="25" t="n">
        <v>0</v>
      </c>
    </row>
    <row r="10" customFormat="false" ht="15" hidden="false" customHeight="false" outlineLevel="0" collapsed="false">
      <c r="A10" s="23" t="s">
        <v>88</v>
      </c>
      <c r="B10" s="24" t="n">
        <v>-30</v>
      </c>
      <c r="C10" s="24" t="n">
        <v>-25</v>
      </c>
      <c r="D10" s="24" t="n">
        <v>-25</v>
      </c>
      <c r="E10" s="24" t="n">
        <v>-25</v>
      </c>
      <c r="F10" s="24" t="n">
        <v>-25</v>
      </c>
      <c r="G10" s="24" t="n">
        <v>-25</v>
      </c>
      <c r="H10" s="24" t="n">
        <v>-25</v>
      </c>
      <c r="I10" s="24" t="n">
        <v>-25</v>
      </c>
      <c r="J10" s="24" t="n">
        <v>-25</v>
      </c>
      <c r="K10" s="24" t="n">
        <v>-25</v>
      </c>
      <c r="L10" s="24" t="n">
        <v>-25</v>
      </c>
      <c r="M10" s="24" t="n">
        <v>-25</v>
      </c>
      <c r="N10" s="24" t="n">
        <v>-25</v>
      </c>
    </row>
    <row r="11" customFormat="false" ht="15" hidden="false" customHeight="false" outlineLevel="0" collapsed="false">
      <c r="A11" s="23" t="s">
        <v>89</v>
      </c>
      <c r="B11" s="24" t="n">
        <v>-7</v>
      </c>
      <c r="C11" s="24" t="n">
        <v>-7</v>
      </c>
      <c r="D11" s="24" t="n">
        <v>-7</v>
      </c>
      <c r="E11" s="24" t="n">
        <v>-7</v>
      </c>
      <c r="F11" s="24" t="n">
        <v>-7</v>
      </c>
      <c r="G11" s="24" t="n">
        <v>-7</v>
      </c>
      <c r="H11" s="24" t="n">
        <v>-7</v>
      </c>
      <c r="I11" s="24" t="n">
        <v>-7</v>
      </c>
      <c r="J11" s="24" t="n">
        <v>-7</v>
      </c>
      <c r="K11" s="24" t="n">
        <v>-7</v>
      </c>
      <c r="L11" s="24" t="n">
        <v>-7</v>
      </c>
      <c r="M11" s="24" t="n">
        <v>-7</v>
      </c>
      <c r="N11" s="24" t="n">
        <v>-7</v>
      </c>
    </row>
    <row r="12" customFormat="false" ht="15" hidden="false" customHeight="false" outlineLevel="0" collapsed="false">
      <c r="A12" s="23" t="s">
        <v>90</v>
      </c>
      <c r="B12" s="24" t="n">
        <v>-15</v>
      </c>
      <c r="C12" s="24" t="n">
        <v>-15</v>
      </c>
      <c r="D12" s="24" t="n">
        <v>-15</v>
      </c>
      <c r="E12" s="24" t="n">
        <v>-15</v>
      </c>
      <c r="F12" s="24" t="n">
        <v>-15</v>
      </c>
      <c r="G12" s="24" t="n">
        <v>-15</v>
      </c>
      <c r="H12" s="24" t="n">
        <v>-15</v>
      </c>
      <c r="I12" s="24" t="n">
        <v>-15</v>
      </c>
      <c r="J12" s="24" t="n">
        <v>-15</v>
      </c>
      <c r="K12" s="24" t="n">
        <v>-15</v>
      </c>
      <c r="L12" s="24" t="n">
        <v>-15</v>
      </c>
      <c r="M12" s="24" t="n">
        <v>-15</v>
      </c>
      <c r="N12" s="24" t="n">
        <v>-15</v>
      </c>
    </row>
    <row r="13" customFormat="false" ht="15" hidden="false" customHeight="false" outlineLevel="0" collapsed="false">
      <c r="A13" s="23" t="s">
        <v>91</v>
      </c>
      <c r="B13" s="25" t="n">
        <v>0</v>
      </c>
      <c r="C13" s="25" t="n">
        <v>0</v>
      </c>
      <c r="D13" s="24" t="n">
        <v>-80</v>
      </c>
      <c r="E13" s="24" t="n">
        <v>-80</v>
      </c>
      <c r="F13" s="24" t="n">
        <v>-80</v>
      </c>
      <c r="G13" s="24" t="n">
        <v>-80</v>
      </c>
      <c r="H13" s="24" t="n">
        <v>-80</v>
      </c>
      <c r="I13" s="24" t="n">
        <v>-80</v>
      </c>
      <c r="J13" s="24" t="n">
        <v>-80</v>
      </c>
      <c r="K13" s="24" t="n">
        <v>-80</v>
      </c>
      <c r="L13" s="24" t="n">
        <v>-80</v>
      </c>
      <c r="M13" s="24" t="n">
        <v>-80</v>
      </c>
      <c r="N13" s="24" t="n">
        <v>-80</v>
      </c>
    </row>
    <row r="14" customFormat="false" ht="15" hidden="false" customHeight="false" outlineLevel="0" collapsed="false">
      <c r="A14" s="23" t="s">
        <v>92</v>
      </c>
      <c r="B14" s="25" t="n">
        <v>0</v>
      </c>
      <c r="C14" s="25" t="n">
        <v>0</v>
      </c>
      <c r="D14" s="25" t="n">
        <v>0</v>
      </c>
      <c r="E14" s="24" t="n">
        <v>-200</v>
      </c>
      <c r="F14" s="24" t="n">
        <v>-200</v>
      </c>
      <c r="G14" s="24" t="n">
        <v>-200</v>
      </c>
      <c r="H14" s="24" t="n">
        <v>-100</v>
      </c>
      <c r="I14" s="24" t="n">
        <v>-100</v>
      </c>
      <c r="J14" s="24" t="n">
        <v>-100</v>
      </c>
      <c r="K14" s="24" t="n">
        <v>-100</v>
      </c>
      <c r="L14" s="24" t="n">
        <v>-100</v>
      </c>
      <c r="M14" s="24" t="n">
        <v>-100</v>
      </c>
      <c r="N14" s="24" t="n">
        <v>-100</v>
      </c>
    </row>
    <row r="15" customFormat="false" ht="15" hidden="false" customHeight="false" outlineLevel="0" collapsed="false">
      <c r="A15" s="23" t="s">
        <v>93</v>
      </c>
      <c r="B15" s="25" t="n">
        <v>0</v>
      </c>
      <c r="C15" s="25" t="n">
        <v>0</v>
      </c>
      <c r="D15" s="25" t="n">
        <v>0</v>
      </c>
      <c r="E15" s="25" t="n">
        <v>0</v>
      </c>
      <c r="F15" s="24" t="n">
        <v>800</v>
      </c>
      <c r="G15" s="24" t="n">
        <v>1200</v>
      </c>
      <c r="H15" s="24" t="n">
        <v>2000</v>
      </c>
      <c r="I15" s="24" t="n">
        <v>2500</v>
      </c>
      <c r="J15" s="24" t="n">
        <v>1500</v>
      </c>
      <c r="K15" s="24" t="n">
        <v>3000</v>
      </c>
      <c r="L15" s="24" t="n">
        <v>2000</v>
      </c>
      <c r="M15" s="24" t="n">
        <v>3500</v>
      </c>
      <c r="N15" s="24" t="n">
        <v>4000</v>
      </c>
    </row>
    <row r="16" customFormat="false" ht="15" hidden="false" customHeight="false" outlineLevel="0" collapsed="false">
      <c r="A16" s="26" t="s">
        <v>94</v>
      </c>
      <c r="B16" s="27" t="n">
        <f aca="false">SUM(B4:B15)</f>
        <v>25448</v>
      </c>
      <c r="C16" s="27" t="n">
        <f aca="false">SUM(C4:C15)</f>
        <v>-3147</v>
      </c>
      <c r="D16" s="27" t="n">
        <f aca="false">SUM(D4:D15)</f>
        <v>-2627</v>
      </c>
      <c r="E16" s="27" t="n">
        <f aca="false">SUM(E4:E15)</f>
        <v>-327</v>
      </c>
      <c r="F16" s="27" t="n">
        <f aca="false">SUM(F4:F15)</f>
        <v>473</v>
      </c>
      <c r="G16" s="27" t="n">
        <f aca="false">SUM(G4:G15)</f>
        <v>873</v>
      </c>
      <c r="H16" s="27" t="n">
        <f aca="false">SUM(H4:H15)</f>
        <v>1773</v>
      </c>
      <c r="I16" s="27" t="n">
        <f aca="false">SUM(I4:I15)</f>
        <v>2273</v>
      </c>
      <c r="J16" s="27" t="n">
        <f aca="false">SUM(J4:J15)</f>
        <v>1273</v>
      </c>
      <c r="K16" s="27" t="n">
        <f aca="false">SUM(K4:K15)</f>
        <v>2773</v>
      </c>
      <c r="L16" s="27" t="n">
        <f aca="false">SUM(L4:L15)</f>
        <v>1773</v>
      </c>
      <c r="M16" s="27" t="n">
        <f aca="false">SUM(M4:M15)</f>
        <v>3273</v>
      </c>
      <c r="N16" s="27" t="n">
        <f aca="false">SUM(N4:N15)</f>
        <v>3773</v>
      </c>
      <c r="O16" s="12"/>
    </row>
    <row r="17" customFormat="false" ht="15" hidden="false" customHeight="false" outlineLevel="0" collapsed="false">
      <c r="A17" s="28" t="s">
        <v>95</v>
      </c>
      <c r="B17" s="29" t="n">
        <f aca="false">B16</f>
        <v>25448</v>
      </c>
      <c r="C17" s="29" t="n">
        <f aca="false">B17+C16</f>
        <v>22301</v>
      </c>
      <c r="D17" s="29" t="n">
        <f aca="false">C17+D16</f>
        <v>19674</v>
      </c>
      <c r="E17" s="29" t="n">
        <f aca="false">D17+E16</f>
        <v>19347</v>
      </c>
      <c r="F17" s="29" t="n">
        <f aca="false">E17+F16</f>
        <v>19820</v>
      </c>
      <c r="G17" s="29" t="n">
        <f aca="false">F17+G16</f>
        <v>20693</v>
      </c>
      <c r="H17" s="29" t="n">
        <f aca="false">G17+H16</f>
        <v>22466</v>
      </c>
      <c r="I17" s="29" t="n">
        <f aca="false">H17+I16</f>
        <v>24739</v>
      </c>
      <c r="J17" s="29" t="n">
        <f aca="false">I17+J16</f>
        <v>26012</v>
      </c>
      <c r="K17" s="29" t="n">
        <f aca="false">J17+K16</f>
        <v>28785</v>
      </c>
      <c r="L17" s="29" t="n">
        <f aca="false">K17+L16</f>
        <v>30558</v>
      </c>
      <c r="M17" s="29" t="n">
        <f aca="false">L17+M16</f>
        <v>33831</v>
      </c>
      <c r="N17" s="29" t="n">
        <f aca="false">M17+N16</f>
        <v>37604</v>
      </c>
      <c r="O17" s="15"/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21" t="s">
        <v>96</v>
      </c>
      <c r="B1" s="21"/>
      <c r="C1" s="21"/>
      <c r="D1" s="21"/>
      <c r="E1" s="21"/>
      <c r="F1" s="21"/>
    </row>
    <row r="3" customFormat="false" ht="15" hidden="false" customHeight="false" outlineLevel="0" collapsed="false">
      <c r="A3" s="3" t="s">
        <v>97</v>
      </c>
      <c r="B3" s="3" t="s">
        <v>98</v>
      </c>
      <c r="C3" s="3" t="s">
        <v>99</v>
      </c>
      <c r="D3" s="3" t="s">
        <v>100</v>
      </c>
      <c r="E3" s="3" t="s">
        <v>101</v>
      </c>
      <c r="F3" s="3" t="s">
        <v>102</v>
      </c>
    </row>
    <row r="4" customFormat="false" ht="15" hidden="false" customHeight="false" outlineLevel="0" collapsed="false">
      <c r="A4" s="30" t="s">
        <v>103</v>
      </c>
      <c r="B4" s="31" t="n">
        <v>9</v>
      </c>
      <c r="C4" s="9" t="n">
        <v>250</v>
      </c>
      <c r="D4" s="32" t="n">
        <v>1.2</v>
      </c>
      <c r="E4" s="33" t="n">
        <f aca="false">C4*2+D4*300</f>
        <v>860</v>
      </c>
      <c r="F4" s="33" t="n">
        <f aca="false">C4*3+D4*500</f>
        <v>1350</v>
      </c>
    </row>
    <row r="5" customFormat="false" ht="15" hidden="false" customHeight="false" outlineLevel="0" collapsed="false">
      <c r="A5" s="30" t="s">
        <v>104</v>
      </c>
      <c r="B5" s="31" t="n">
        <v>20</v>
      </c>
      <c r="C5" s="9" t="n">
        <v>450</v>
      </c>
      <c r="D5" s="32" t="n">
        <v>1.5</v>
      </c>
      <c r="E5" s="33" t="n">
        <f aca="false">C5*2+D5*300</f>
        <v>1350</v>
      </c>
      <c r="F5" s="33" t="n">
        <f aca="false">C5*3+D5*500</f>
        <v>2100</v>
      </c>
    </row>
    <row r="6" customFormat="false" ht="15" hidden="false" customHeight="false" outlineLevel="0" collapsed="false">
      <c r="A6" s="30" t="s">
        <v>105</v>
      </c>
      <c r="B6" s="31" t="n">
        <v>35</v>
      </c>
      <c r="C6" s="9" t="n">
        <v>750</v>
      </c>
      <c r="D6" s="32" t="n">
        <v>2</v>
      </c>
      <c r="E6" s="33" t="n">
        <f aca="false">C6*2+D6*300</f>
        <v>2100</v>
      </c>
      <c r="F6" s="33" t="n">
        <f aca="false">C6*3+D6*500</f>
        <v>3250</v>
      </c>
    </row>
    <row r="7" customFormat="false" ht="15" hidden="false" customHeight="false" outlineLevel="0" collapsed="false">
      <c r="A7" s="30" t="s">
        <v>106</v>
      </c>
      <c r="B7" s="31" t="n">
        <v>49</v>
      </c>
      <c r="C7" s="9" t="n">
        <v>950</v>
      </c>
      <c r="D7" s="32" t="n">
        <v>2.2</v>
      </c>
      <c r="E7" s="33" t="n">
        <f aca="false">C7*2+D7*300</f>
        <v>2560</v>
      </c>
      <c r="F7" s="33" t="n">
        <f aca="false">C7*3+D7*500</f>
        <v>3950</v>
      </c>
    </row>
    <row r="8" customFormat="false" ht="15" hidden="false" customHeight="false" outlineLevel="0" collapsed="false">
      <c r="A8" s="30" t="s">
        <v>107</v>
      </c>
      <c r="B8" s="31" t="n">
        <v>55</v>
      </c>
      <c r="C8" s="9" t="n">
        <v>1100</v>
      </c>
      <c r="D8" s="32" t="n">
        <v>2.5</v>
      </c>
      <c r="E8" s="33" t="n">
        <f aca="false">C8*2+D8*300</f>
        <v>2950</v>
      </c>
      <c r="F8" s="33" t="n">
        <f aca="false">C8*3+D8*500</f>
        <v>4550</v>
      </c>
    </row>
    <row r="10" customFormat="false" ht="15" hidden="false" customHeight="false" outlineLevel="0" collapsed="false">
      <c r="A10" s="4" t="s">
        <v>108</v>
      </c>
      <c r="B10" s="5"/>
      <c r="C10" s="5"/>
    </row>
    <row r="11" customFormat="false" ht="15" hidden="false" customHeight="false" outlineLevel="0" collapsed="false">
      <c r="A11" s="34" t="s">
        <v>109</v>
      </c>
      <c r="B11" s="35" t="n">
        <v>1</v>
      </c>
    </row>
    <row r="12" customFormat="false" ht="15" hidden="false" customHeight="false" outlineLevel="0" collapsed="false">
      <c r="A12" s="34" t="s">
        <v>110</v>
      </c>
      <c r="B12" s="35" t="n">
        <v>1.1</v>
      </c>
    </row>
    <row r="13" customFormat="false" ht="15" hidden="false" customHeight="false" outlineLevel="0" collapsed="false">
      <c r="A13" s="34" t="s">
        <v>111</v>
      </c>
      <c r="B13" s="35" t="n">
        <v>1.25</v>
      </c>
    </row>
    <row r="16" customFormat="false" ht="15" hidden="false" customHeight="false" outlineLevel="0" collapsed="false">
      <c r="A16" s="4" t="s">
        <v>112</v>
      </c>
      <c r="B16" s="5"/>
      <c r="C16" s="5"/>
      <c r="D16" s="5"/>
    </row>
    <row r="17" customFormat="false" ht="15" hidden="false" customHeight="false" outlineLevel="0" collapsed="false">
      <c r="A17" s="23" t="s">
        <v>113</v>
      </c>
      <c r="B17" s="36" t="n">
        <v>2</v>
      </c>
      <c r="C17" s="37" t="s">
        <v>114</v>
      </c>
    </row>
    <row r="18" customFormat="false" ht="15" hidden="false" customHeight="false" outlineLevel="0" collapsed="false">
      <c r="A18" s="23" t="s">
        <v>115</v>
      </c>
      <c r="B18" s="36" t="n">
        <v>400</v>
      </c>
      <c r="C18" s="37" t="s">
        <v>116</v>
      </c>
    </row>
    <row r="19" customFormat="false" ht="15" hidden="false" customHeight="false" outlineLevel="0" collapsed="false">
      <c r="A19" s="23" t="s">
        <v>117</v>
      </c>
      <c r="B19" s="7" t="n">
        <v>950</v>
      </c>
      <c r="C19" s="37" t="s">
        <v>118</v>
      </c>
    </row>
    <row r="20" customFormat="false" ht="15" hidden="false" customHeight="false" outlineLevel="0" collapsed="false">
      <c r="A20" s="23" t="s">
        <v>119</v>
      </c>
      <c r="B20" s="38" t="n">
        <v>2.2</v>
      </c>
      <c r="C20" s="37" t="s">
        <v>118</v>
      </c>
    </row>
    <row r="21" customFormat="false" ht="15" hidden="false" customHeight="false" outlineLevel="0" collapsed="false">
      <c r="A21" s="23" t="s">
        <v>120</v>
      </c>
      <c r="B21" s="36" t="n">
        <v>1.1</v>
      </c>
      <c r="C21" s="37" t="s">
        <v>121</v>
      </c>
    </row>
    <row r="22" customFormat="false" ht="15" hidden="false" customHeight="false" outlineLevel="0" collapsed="false">
      <c r="A22" s="23" t="s">
        <v>122</v>
      </c>
      <c r="B22" s="36" t="n">
        <v>30</v>
      </c>
      <c r="C22" s="37" t="s">
        <v>123</v>
      </c>
    </row>
    <row r="24" customFormat="false" ht="15" hidden="false" customHeight="false" outlineLevel="0" collapsed="false">
      <c r="A24" s="4" t="s">
        <v>124</v>
      </c>
      <c r="B24" s="5"/>
      <c r="C24" s="5"/>
    </row>
    <row r="25" customFormat="false" ht="15" hidden="false" customHeight="false" outlineLevel="0" collapsed="false">
      <c r="A25" s="23" t="s">
        <v>125</v>
      </c>
      <c r="B25" s="33" t="n">
        <f aca="false">B17*B19</f>
        <v>1900</v>
      </c>
    </row>
    <row r="26" customFormat="false" ht="15" hidden="false" customHeight="false" outlineLevel="0" collapsed="false">
      <c r="A26" s="23" t="s">
        <v>126</v>
      </c>
      <c r="B26" s="33" t="n">
        <f aca="false">B18*B20</f>
        <v>880</v>
      </c>
    </row>
    <row r="27" customFormat="false" ht="15" hidden="false" customHeight="false" outlineLevel="0" collapsed="false">
      <c r="A27" s="39" t="s">
        <v>127</v>
      </c>
      <c r="B27" s="40" t="n">
        <f aca="false">B25+B26</f>
        <v>2780</v>
      </c>
    </row>
    <row r="28" customFormat="false" ht="15" hidden="false" customHeight="false" outlineLevel="0" collapsed="false">
      <c r="A28" s="39" t="s">
        <v>128</v>
      </c>
      <c r="B28" s="41" t="n">
        <f aca="false">B27*B21</f>
        <v>3058</v>
      </c>
    </row>
    <row r="29" customFormat="false" ht="15" hidden="false" customHeight="false" outlineLevel="0" collapsed="false">
      <c r="A29" s="42" t="s">
        <v>129</v>
      </c>
      <c r="B29" s="43" t="n">
        <f aca="false">B28/B22</f>
        <v>101.933333333333</v>
      </c>
      <c r="C29" s="15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21" t="s">
        <v>130</v>
      </c>
      <c r="B1" s="21"/>
      <c r="C1" s="21"/>
      <c r="D1" s="21"/>
      <c r="E1" s="21"/>
      <c r="F1" s="21"/>
      <c r="G1" s="21"/>
    </row>
    <row r="3" customFormat="false" ht="15" hidden="false" customHeight="false" outlineLevel="0" collapsed="false">
      <c r="A3" s="3" t="s">
        <v>131</v>
      </c>
      <c r="B3" s="3" t="s">
        <v>132</v>
      </c>
      <c r="C3" s="3" t="s">
        <v>133</v>
      </c>
      <c r="D3" s="3" t="s">
        <v>134</v>
      </c>
      <c r="E3" s="3" t="s">
        <v>135</v>
      </c>
      <c r="F3" s="3" t="s">
        <v>136</v>
      </c>
      <c r="G3" s="3" t="s">
        <v>6</v>
      </c>
    </row>
    <row r="4" customFormat="false" ht="15" hidden="false" customHeight="false" outlineLevel="0" collapsed="false">
      <c r="A4" s="23" t="s">
        <v>137</v>
      </c>
      <c r="B4" s="44" t="n">
        <v>0.1</v>
      </c>
      <c r="C4" s="44" t="n">
        <v>0.15</v>
      </c>
      <c r="D4" s="45" t="n">
        <f aca="false">AVERAGE(B4,C4)</f>
        <v>0.125</v>
      </c>
      <c r="E4" s="9" t="n">
        <v>500</v>
      </c>
      <c r="F4" s="46" t="n">
        <f aca="false">E4*D4</f>
        <v>62.5</v>
      </c>
      <c r="G4" s="47" t="s">
        <v>138</v>
      </c>
    </row>
    <row r="5" customFormat="false" ht="15" hidden="false" customHeight="false" outlineLevel="0" collapsed="false">
      <c r="A5" s="23" t="s">
        <v>139</v>
      </c>
      <c r="B5" s="44" t="n">
        <v>0.1</v>
      </c>
      <c r="C5" s="44" t="n">
        <v>0.15</v>
      </c>
      <c r="D5" s="45" t="n">
        <f aca="false">AVERAGE(B5,C5)</f>
        <v>0.125</v>
      </c>
      <c r="E5" s="9" t="n">
        <v>150</v>
      </c>
      <c r="F5" s="46" t="n">
        <f aca="false">E5*D5</f>
        <v>18.75</v>
      </c>
      <c r="G5" s="47" t="s">
        <v>140</v>
      </c>
    </row>
    <row r="6" customFormat="false" ht="15" hidden="false" customHeight="false" outlineLevel="0" collapsed="false">
      <c r="A6" s="23" t="s">
        <v>141</v>
      </c>
      <c r="B6" s="44" t="n">
        <v>0.15</v>
      </c>
      <c r="C6" s="44" t="n">
        <v>0.25</v>
      </c>
      <c r="D6" s="45" t="n">
        <f aca="false">AVERAGE(B6,C6)</f>
        <v>0.2</v>
      </c>
      <c r="E6" s="9" t="n">
        <v>120</v>
      </c>
      <c r="F6" s="46" t="n">
        <f aca="false">E6*D6</f>
        <v>24</v>
      </c>
      <c r="G6" s="47" t="s">
        <v>142</v>
      </c>
    </row>
    <row r="7" customFormat="false" ht="15" hidden="false" customHeight="false" outlineLevel="0" collapsed="false">
      <c r="A7" s="23" t="s">
        <v>143</v>
      </c>
      <c r="B7" s="44" t="n">
        <v>0.08</v>
      </c>
      <c r="C7" s="44" t="n">
        <v>0.12</v>
      </c>
      <c r="D7" s="45" t="n">
        <f aca="false">AVERAGE(B7,C7)</f>
        <v>0.1</v>
      </c>
      <c r="E7" s="9" t="n">
        <v>80</v>
      </c>
      <c r="F7" s="46" t="n">
        <f aca="false">E7*D7</f>
        <v>8</v>
      </c>
      <c r="G7" s="47" t="s">
        <v>144</v>
      </c>
    </row>
    <row r="8" customFormat="false" ht="15" hidden="false" customHeight="false" outlineLevel="0" collapsed="false">
      <c r="A8" s="23" t="s">
        <v>145</v>
      </c>
      <c r="B8" s="44" t="n">
        <v>0.2</v>
      </c>
      <c r="C8" s="44" t="n">
        <v>0.3</v>
      </c>
      <c r="D8" s="45" t="n">
        <f aca="false">AVERAGE(B8,C8)</f>
        <v>0.25</v>
      </c>
      <c r="E8" s="9" t="n">
        <v>25</v>
      </c>
      <c r="F8" s="46" t="n">
        <f aca="false">E8*D8</f>
        <v>6.25</v>
      </c>
      <c r="G8" s="47" t="s">
        <v>146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2026-03-05T21:23:20Z</dcterms:created>
  <dc:creator>openpyxl</dc:creator>
  <dc:description/>
  <dc:language>en-US</dc:language>
  <cp:lastModifiedBy/>
  <dcterms:modified xsi:type="dcterms:W3CDTF">2026-03-05T21:23:20Z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